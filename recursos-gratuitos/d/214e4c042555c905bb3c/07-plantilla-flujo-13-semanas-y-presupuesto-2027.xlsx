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lujo 13 semanas" sheetId="2" state="visible" r:id="rId4"/>
    <sheet name="Presupuesto 2027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<sst xmlns="http://schemas.openxmlformats.org/spreadsheetml/2006/main" count="87" uniqueCount="84">
  <si>
    <t xml:space="preserve">Plantilla gerencial · Strategic Leverage Partner</t>
  </si>
  <si>
    <t xml:space="preserve">Celdas amarillas = datos que tú ingresas. Celdas verdes o blancas = fórmulas (no las borres).</t>
  </si>
  <si>
    <t xml:space="preserve">Hoja «Flujo 13 semanas»: ingresa el saldo inicial, la fecha del primer lunes y los cobros y pagos esperados de cada semana.</t>
  </si>
  <si>
    <t xml:space="preserve">La fila «Saldo final» se pinta de rojo cuando cae por debajo del saldo mínimo que definas. Ese es el aviso para actuar con tiempo:</t>
  </si>
  <si>
    <t xml:space="preserve">   negociar plazos con proveedores, acelerar la cobranza, postergar inversiones o gestionar una línea de crédito.</t>
  </si>
  <si>
    <t xml:space="preserve">Hoja «Presupuesto 2027»: ingresa las ventas y costos base y ajusta solo los supuestos de cada escenario (pesimista, base, optimista).</t>
  </si>
  <si>
    <t xml:space="preserve">Regla práctica: toda inversión de 2027 debe resistir el escenario pesimista.</t>
  </si>
  <si>
    <t xml:space="preserve">¿Quieres que la revisemos contigo? WhatsApp +593 99 572 8488 · strategicleverage.partners · Quito · Guayaquil · Cuenca</t>
  </si>
  <si>
    <t xml:space="preserve">Documento informativo; no sustituye una asesoría sobre el caso concreto de tu empresa.</t>
  </si>
  <si>
    <t xml:space="preserve">Flujo de caja proyectado · 13 semanas</t>
  </si>
  <si>
    <t xml:space="preserve">Empresa</t>
  </si>
  <si>
    <t xml:space="preserve">(nombre)</t>
  </si>
  <si>
    <t xml:space="preserve">Primer lunes</t>
  </si>
  <si>
    <t xml:space="preserve">Saldo inicial de caja (USD)</t>
  </si>
  <si>
    <t xml:space="preserve">Saldo mínimo deseado (USD)</t>
  </si>
  <si>
    <t xml:space="preserve">Concepto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</si>
  <si>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</si>
  <si>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</si>
  <si>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</si>
  <si>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</si>
  <si>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</si>
  <si>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</si>
  <si>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</si>
  <si>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</si>
  <si>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</si>
  <si>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</si>
  <si>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</si>
  <si>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</si>
  <si>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</si>
  <si>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Total 13 semanas</t>
  </si>
  <si>
    <t xml:space="preserve">Inicio de semana</t>
  </si>
  <si>
    <t xml:space="preserve">INGRESOS</t>
  </si>
  <si>
    <t xml:space="preserve">Cobros a clientes (cartera)</t>
  </si>
  <si>
    <t xml:space="preserve">Ventas de contado</t>
  </si>
  <si>
    <t xml:space="preserve">Otros ingresos</t>
  </si>
  <si>
    <t xml:space="preserve">Préstamos recibidos</t>
  </si>
  <si>
    <t xml:space="preserve">Total ingresos</t>
  </si>
  <si>
    <t xml:space="preserve">EGRESOS</t>
  </si>
  <si>
    <t xml:space="preserve">Proveedores</t>
  </si>
  <si>
    <t xml:space="preserve">Sueldos y beneficios</t>
  </si>
  <si>
    <t xml:space="preserve">IESS</t>
  </si>
  <si>
    <t xml:space="preserve">Impuestos (IVA, retenciones, renta)</t>
  </si>
  <si>
    <t xml:space="preserve">Arriendos y servicios</t>
  </si>
  <si>
    <t xml:space="preserve">Cuotas de préstamos (capital + interés)</t>
  </si>
  <si>
    <t xml:space="preserve">Inversiones / activos</t>
  </si>
  <si>
    <t xml:space="preserve">Otros pagos</t>
  </si>
  <si>
    <t xml:space="preserve">Total egresos</t>
  </si>
  <si>
    <t xml:space="preserve">Flujo neto de la semana</t>
  </si>
  <si>
    <t xml:space="preserve">Saldo inicial</t>
  </si>
  <si>
    <t xml:space="preserve">Saldo final</t>
  </si>
  <si>
    <t xml:space="preserve">Semanas por debajo del mínimo</t>
  </si>
  <si>
    <t xml:space="preserve">Saldo más bajo proyectado</t>
  </si>
  <si>
    <t xml:space="preserve">Primera semana en alerta</t>
  </si>
  <si>
    <t xml:space="preserve">Presupuesto 2027 · tres escenarios</t>
  </si>
  <si>
    <t xml:space="preserve">Ingresa los valores base (2026) y ajusta los supuestos de cada escenario. Toda inversión debe resistir el escenario pesimista.</t>
  </si>
  <si>
    <t xml:space="preserve">Supuesto / rubro</t>
  </si>
  <si>
    <t xml:space="preserve">Base 2026 (real)</t>
  </si>
  <si>
    <t xml:space="preserve">Pesimista</t>
  </si>
  <si>
    <t xml:space="preserve">Base</t>
  </si>
  <si>
    <t xml:space="preserve">Optimista</t>
  </si>
  <si>
    <t xml:space="preserve">Ventas 2026 (USD)</t>
  </si>
  <si>
    <t xml:space="preserve">Crecimiento de ventas</t>
  </si>
  <si>
    <t xml:space="preserve">Costo de ventas (% de ventas)</t>
  </si>
  <si>
    <t xml:space="preserve">Gastos fijos 2026 (USD)</t>
  </si>
  <si>
    <t xml:space="preserve">Variación de gastos fijos</t>
  </si>
  <si>
    <t xml:space="preserve">Días de cobro</t>
  </si>
  <si>
    <t xml:space="preserve">Deuda financiera (USD)</t>
  </si>
  <si>
    <t xml:space="preserve">Tasa de interés anual</t>
  </si>
  <si>
    <t xml:space="preserve">Depreciaciones (USD)</t>
  </si>
  <si>
    <t xml:space="preserve">Resultado proyectado 2027</t>
  </si>
  <si>
    <t xml:space="preserve">Ventas</t>
  </si>
  <si>
    <t xml:space="preserve">Costo de ventas</t>
  </si>
  <si>
    <t xml:space="preserve">Utilidad bruta</t>
  </si>
  <si>
    <t xml:space="preserve">Gastos fijos</t>
  </si>
  <si>
    <t xml:space="preserve">EBITDA</t>
  </si>
  <si>
    <t xml:space="preserve">Depreciaciones</t>
  </si>
  <si>
    <t xml:space="preserve">Utilidad operativa</t>
  </si>
  <si>
    <t xml:space="preserve">Intereses</t>
  </si>
  <si>
    <t xml:space="preserve">Utilidad antes de participación e impuestos</t>
  </si>
  <si>
    <t xml:space="preserve">Cuentas por cobrar al cierre</t>
  </si>
  <si>
    <t xml:space="preserve">Margen EBITDA</t>
  </si>
  <si>
    <t xml:space="preserve">Deuda / EBITDA (veces)</t>
  </si>
  <si>
    <t xml:space="preserve">Cobertura de intereses (veces)</t>
  </si>
  <si>
    <t xml:space="preserve">Lectura: la utilidad antes de participación laboral (15%) e impuesto a la renta es referencial; consulta con tu contador el cálculo exacto.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</si>
</sst>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;[RED]\-#,##0"/>
    <numFmt numFmtId="167" formatCode="dd\-mmm"/>
    <numFmt numFmtId="168" formatCode="General"/>
    <numFmt numFmtId="169" formatCode="0.0%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15D4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5C6B66"/>
      <name val="Cambria"/>
      <family val="0"/>
      <charset val="1"/>
    </font>
    <font>
      <b val="true"/>
      <sz val="11"/>
      <color rgb="FF015D4C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DC"/>
        <bgColor rgb="FFFFFFFF"/>
      </patternFill>
    </fill>
    <fill>
      <patternFill patternType="solid">
        <fgColor rgb="FF015D4C"/>
        <bgColor rgb="FF008080"/>
      </patternFill>
    </fill>
    <fill>
      <patternFill patternType="solid">
        <fgColor rgb="FFE6EFEC"/>
        <bgColor rgb="FFD6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DC"/>
      </left>
      <right style="thin">
        <color rgb="FFD6E0DC"/>
      </right>
      <top style="thin">
        <color rgb="FFD6E0DC"/>
      </top>
      <bottom style="thin">
        <color rgb="FFD6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C0006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15D4C"/>
      <rgbColor rgb="FFC0C0C0"/>
      <rgbColor rgb="FF878787"/>
      <rgbColor rgb="FF9999FF"/>
      <rgbColor rgb="FF993366"/>
      <rgbColor rgb="FFFFF6DC"/>
      <rgbColor rgb="FFE6E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0DC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C6B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final proyectado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'Flujo 13 semanas'!A30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015d4c"/>
            </a:solidFill>
            <a:ln w="28440">
              <a:solidFill>
                <a:srgbClr val="015d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'Flujo 13 semanas'!$B$8:$N$8</c:f>
              <c:strCache>
                <c:ptCount val="13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Semana 13</c:v>
                </c:pt>
              </c:strCache>
            </c:strRef>
          </c:cat>
          <c:val>
            <c:numRef>
              <c:f>'Flujo 13 semanas'!$B$30:$N$30</c:f>
              <c:numCache>
                <c:formatCode>#,##0;[RED]\-#,##0</c:formatCode>
                <c:ptCount val="13"/>
                <c:pt idx="0">
                  <c:v>26700</c:v>
                </c:pt>
                <c:pt idx="1">
                  <c:v>28400</c:v>
                </c:pt>
                <c:pt idx="2">
                  <c:v>25600</c:v>
                </c:pt>
                <c:pt idx="3">
                  <c:v>17100</c:v>
                </c:pt>
                <c:pt idx="4">
                  <c:v>18800</c:v>
                </c:pt>
                <c:pt idx="5">
                  <c:v>20500</c:v>
                </c:pt>
                <c:pt idx="6">
                  <c:v>17700</c:v>
                </c:pt>
                <c:pt idx="7">
                  <c:v>9200</c:v>
                </c:pt>
                <c:pt idx="8">
                  <c:v>900</c:v>
                </c:pt>
                <c:pt idx="9">
                  <c:v>2600</c:v>
                </c:pt>
                <c:pt idx="10">
                  <c:v>4300</c:v>
                </c:pt>
                <c:pt idx="11">
                  <c:v>1500</c:v>
                </c:pt>
                <c:pt idx="12">
                  <c:v>-7000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05978"/>
        <c:axId val="57565574"/>
      </c:lineChart>
      <c:catAx>
        <c:axId val="61805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65574"/>
        <c:crosses val="autoZero"/>
        <c:auto val="1"/>
        <c:lblAlgn val="ctr"/>
        <c:lblOffset val="100"/>
        <c:noMultiLvlLbl val="0"/>
      </c:catAx>
      <c:valAx>
        <c:axId val="57565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5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29</xdr:row>
      <xdr:rowOff>166320</xdr:rowOff>
    </xdr:from>
    <xdr:to>
      <xdr:col>11</xdr:col>
      <xdr:colOff>868680</xdr:colOff>
      <xdr:row>43</xdr:row>
      <xdr:rowOff>19080</xdr:rowOff>
    </xdr:to>
    <xdr:graphicFrame>
      <xdr:nvGraphicFramePr>
        <xdr:cNvPr id="0" name="Chart 1"/>
        <xdr:cNvGraphicFramePr/>
      </xdr:nvGraphicFramePr>
      <xdr:xfrm>
        <a:off x="4582080" y="5905440"/>
        <a:ext cx="79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0" t="s">
        <v>5</v>
      </c>
    </row>
    <row r="10" customFormat="false" ht="15" hidden="false" customHeight="false" outlineLevel="0" collapsed="false">
      <c r="A10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Strategic Leverage Partner · Uso exclusivo del solicitante · Prohibida su venta o reproducción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5" min="2" style="0" width="12.5"/>
  </cols>
  <sheetData>
    <row r="1" customFormat="false" ht="18.55" hidden="false" customHeight="false" outlineLevel="0" collapsed="false">
      <c r="A1" s="1" t="s">
        <v>9</v>
      </c>
    </row>
    <row r="3" customFormat="false" ht="15" hidden="false" customHeight="false" outlineLevel="0" collapsed="false">
      <c r="A3" s="0" t="s">
        <v>10</v>
      </c>
      <c r="B3" s="2" t="s">
        <v>11</v>
      </c>
    </row>
    <row r="4" customFormat="false" ht="15" hidden="false" customHeight="false" outlineLevel="0" collapsed="false">
      <c r="A4" s="0" t="s">
        <v>12</v>
      </c>
      <c r="B4" s="3" t="n">
        <f aca="false">DATE(2026,11,2)</f>
        <v>46328</v>
      </c>
    </row>
    <row r="5" customFormat="false" ht="15" hidden="false" customHeight="false" outlineLevel="0" collapsed="false">
      <c r="A5" s="0" t="s">
        <v>13</v>
      </c>
      <c r="B5" s="4" t="n">
        <v>25000</v>
      </c>
    </row>
    <row r="6" customFormat="false" ht="15" hidden="false" customHeight="false" outlineLevel="0" collapsed="false">
      <c r="A6" s="0" t="s">
        <v>14</v>
      </c>
      <c r="B6" s="4" t="n">
        <v>8000</v>
      </c>
    </row>
    <row r="8" customFormat="false" ht="28.35" hidden="false" customHeight="false" outlineLevel="0" collapsed="false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5" t="s">
        <v>29</v>
      </c>
    </row>
    <row r="9" customFormat="false" ht="15" hidden="false" customHeight="false" outlineLevel="0" collapsed="false">
      <c r="A9" s="6" t="s">
        <v>30</v>
      </c>
      <c r="B9" s="7" t="n">
        <f aca="false">$B$4+0</f>
        <v>46328</v>
      </c>
      <c r="C9" s="7" t="n">
        <f aca="false">$B$4+7</f>
        <v>46335</v>
      </c>
      <c r="D9" s="7" t="n">
        <f aca="false">$B$4+14</f>
        <v>46342</v>
      </c>
      <c r="E9" s="7" t="n">
        <f aca="false">$B$4+21</f>
        <v>46349</v>
      </c>
      <c r="F9" s="7" t="n">
        <f aca="false">$B$4+28</f>
        <v>46356</v>
      </c>
      <c r="G9" s="7" t="n">
        <f aca="false">$B$4+35</f>
        <v>46363</v>
      </c>
      <c r="H9" s="7" t="n">
        <f aca="false">$B$4+42</f>
        <v>46370</v>
      </c>
      <c r="I9" s="7" t="n">
        <f aca="false">$B$4+49</f>
        <v>46377</v>
      </c>
      <c r="J9" s="7" t="n">
        <f aca="false">$B$4+56</f>
        <v>46384</v>
      </c>
      <c r="K9" s="7" t="n">
        <f aca="false">$B$4+63</f>
        <v>46391</v>
      </c>
      <c r="L9" s="7" t="n">
        <f aca="false">$B$4+70</f>
        <v>46398</v>
      </c>
      <c r="M9" s="7" t="n">
        <f aca="false">$B$4+77</f>
        <v>46405</v>
      </c>
      <c r="N9" s="7" t="n">
        <f aca="false">$B$4+84</f>
        <v>46412</v>
      </c>
    </row>
    <row r="10" customFormat="false" ht="15" hidden="false" customHeight="false" outlineLevel="0" collapsed="false">
      <c r="A10" s="8" t="s">
        <v>31</v>
      </c>
    </row>
    <row r="11" customFormat="false" ht="15" hidden="false" customHeight="false" outlineLevel="0" collapsed="false">
      <c r="A11" s="0" t="s">
        <v>32</v>
      </c>
      <c r="B11" s="4" t="n">
        <v>13000</v>
      </c>
      <c r="C11" s="4" t="n">
        <v>13000</v>
      </c>
      <c r="D11" s="4" t="n">
        <v>13000</v>
      </c>
      <c r="E11" s="4" t="n">
        <v>13000</v>
      </c>
      <c r="F11" s="4" t="n">
        <v>13000</v>
      </c>
      <c r="G11" s="4" t="n">
        <v>13000</v>
      </c>
      <c r="H11" s="4" t="n">
        <v>13000</v>
      </c>
      <c r="I11" s="4" t="n">
        <v>13000</v>
      </c>
      <c r="J11" s="4" t="n">
        <v>3000</v>
      </c>
      <c r="K11" s="4" t="n">
        <v>13000</v>
      </c>
      <c r="L11" s="4" t="n">
        <v>13000</v>
      </c>
      <c r="M11" s="4" t="n">
        <v>13000</v>
      </c>
      <c r="N11" s="4" t="n">
        <v>13000</v>
      </c>
      <c r="O11" s="9" t="n">
        <f aca="false">SUM(B11:N11)</f>
        <v>159000</v>
      </c>
    </row>
    <row r="12" customFormat="false" ht="15" hidden="false" customHeight="false" outlineLevel="0" collapsed="false">
      <c r="A12" s="0" t="s">
        <v>33</v>
      </c>
      <c r="B12" s="4" t="n">
        <v>4500</v>
      </c>
      <c r="C12" s="4" t="n">
        <v>4500</v>
      </c>
      <c r="D12" s="4" t="n">
        <v>4500</v>
      </c>
      <c r="E12" s="4" t="n">
        <v>4500</v>
      </c>
      <c r="F12" s="4" t="n">
        <v>4500</v>
      </c>
      <c r="G12" s="4" t="n">
        <v>4500</v>
      </c>
      <c r="H12" s="4" t="n">
        <v>4500</v>
      </c>
      <c r="I12" s="4" t="n">
        <v>4500</v>
      </c>
      <c r="J12" s="4" t="n">
        <v>4500</v>
      </c>
      <c r="K12" s="4" t="n">
        <v>4500</v>
      </c>
      <c r="L12" s="4" t="n">
        <v>4500</v>
      </c>
      <c r="M12" s="4" t="n">
        <v>4500</v>
      </c>
      <c r="N12" s="4" t="n">
        <v>4500</v>
      </c>
      <c r="O12" s="9" t="n">
        <f aca="false">SUM(B12:N12)</f>
        <v>58500</v>
      </c>
    </row>
    <row r="13" customFormat="false" ht="15" hidden="false" customHeight="false" outlineLevel="0" collapsed="false">
      <c r="A13" s="0" t="s">
        <v>34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9" t="n">
        <f aca="false">SUM(B13:N13)</f>
        <v>0</v>
      </c>
    </row>
    <row r="14" customFormat="false" ht="15" hidden="false" customHeight="false" outlineLevel="0" collapsed="false">
      <c r="A14" s="0" t="s">
        <v>35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9" t="n">
        <f aca="false">SUM(B14:N14)</f>
        <v>0</v>
      </c>
    </row>
    <row r="15" customFormat="false" ht="15" hidden="false" customHeight="false" outlineLevel="0" collapsed="false">
      <c r="A15" s="10" t="s">
        <v>36</v>
      </c>
      <c r="B15" s="11" t="n">
        <f aca="false">SUM(B11:B14)</f>
        <v>17500</v>
      </c>
      <c r="C15" s="11" t="n">
        <f aca="false">SUM(C11:C14)</f>
        <v>17500</v>
      </c>
      <c r="D15" s="11" t="n">
        <f aca="false">SUM(D11:D14)</f>
        <v>17500</v>
      </c>
      <c r="E15" s="11" t="n">
        <f aca="false">SUM(E11:E14)</f>
        <v>17500</v>
      </c>
      <c r="F15" s="11" t="n">
        <f aca="false">SUM(F11:F14)</f>
        <v>17500</v>
      </c>
      <c r="G15" s="11" t="n">
        <f aca="false">SUM(G11:G14)</f>
        <v>17500</v>
      </c>
      <c r="H15" s="11" t="n">
        <f aca="false">SUM(H11:H14)</f>
        <v>17500</v>
      </c>
      <c r="I15" s="11" t="n">
        <f aca="false">SUM(I11:I14)</f>
        <v>17500</v>
      </c>
      <c r="J15" s="11" t="n">
        <f aca="false">SUM(J11:J14)</f>
        <v>7500</v>
      </c>
      <c r="K15" s="11" t="n">
        <f aca="false">SUM(K11:K14)</f>
        <v>17500</v>
      </c>
      <c r="L15" s="11" t="n">
        <f aca="false">SUM(L11:L14)</f>
        <v>17500</v>
      </c>
      <c r="M15" s="11" t="n">
        <f aca="false">SUM(M11:M14)</f>
        <v>17500</v>
      </c>
      <c r="N15" s="11" t="n">
        <f aca="false">SUM(N11:N14)</f>
        <v>17500</v>
      </c>
      <c r="O15" s="9" t="n">
        <f aca="false">SUM(B15:N15)</f>
        <v>217500</v>
      </c>
    </row>
    <row r="17" customFormat="false" ht="15" hidden="false" customHeight="false" outlineLevel="0" collapsed="false">
      <c r="A17" s="8" t="s">
        <v>37</v>
      </c>
    </row>
    <row r="18" customFormat="false" ht="15" hidden="false" customHeight="false" outlineLevel="0" collapsed="false">
      <c r="A18" s="0" t="s">
        <v>38</v>
      </c>
      <c r="B18" s="4" t="n">
        <v>12000</v>
      </c>
      <c r="C18" s="4" t="n">
        <v>12000</v>
      </c>
      <c r="D18" s="4" t="n">
        <v>12000</v>
      </c>
      <c r="E18" s="4" t="n">
        <v>12000</v>
      </c>
      <c r="F18" s="4" t="n">
        <v>12000</v>
      </c>
      <c r="G18" s="4" t="n">
        <v>12000</v>
      </c>
      <c r="H18" s="4" t="n">
        <v>12000</v>
      </c>
      <c r="I18" s="4" t="n">
        <v>12000</v>
      </c>
      <c r="J18" s="4" t="n">
        <v>12000</v>
      </c>
      <c r="K18" s="4" t="n">
        <v>12000</v>
      </c>
      <c r="L18" s="4" t="n">
        <v>12000</v>
      </c>
      <c r="M18" s="4" t="n">
        <v>12000</v>
      </c>
      <c r="N18" s="4" t="n">
        <v>12000</v>
      </c>
      <c r="O18" s="9" t="n">
        <f aca="false">SUM(B18:N18)</f>
        <v>156000</v>
      </c>
    </row>
    <row r="19" customFormat="false" ht="15" hidden="false" customHeight="false" outlineLevel="0" collapsed="false">
      <c r="A19" s="0" t="s">
        <v>39</v>
      </c>
      <c r="B19" s="4" t="n">
        <v>0</v>
      </c>
      <c r="C19" s="4" t="n">
        <v>0</v>
      </c>
      <c r="D19" s="4" t="n">
        <v>0</v>
      </c>
      <c r="E19" s="4" t="n">
        <v>7000</v>
      </c>
      <c r="F19" s="4" t="n">
        <v>0</v>
      </c>
      <c r="G19" s="4" t="n">
        <v>0</v>
      </c>
      <c r="H19" s="4" t="n">
        <v>0</v>
      </c>
      <c r="I19" s="4" t="n">
        <v>7000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7000</v>
      </c>
      <c r="O19" s="9" t="n">
        <f aca="false">SUM(B19:N19)</f>
        <v>21000</v>
      </c>
    </row>
    <row r="20" customFormat="false" ht="15" hidden="false" customHeight="false" outlineLevel="0" collapsed="false">
      <c r="A20" s="0" t="s">
        <v>40</v>
      </c>
      <c r="B20" s="4" t="n">
        <v>1500</v>
      </c>
      <c r="C20" s="4" t="n">
        <v>1500</v>
      </c>
      <c r="D20" s="4" t="n">
        <v>1500</v>
      </c>
      <c r="E20" s="4" t="n">
        <v>1500</v>
      </c>
      <c r="F20" s="4" t="n">
        <v>1500</v>
      </c>
      <c r="G20" s="4" t="n">
        <v>1500</v>
      </c>
      <c r="H20" s="4" t="n">
        <v>1500</v>
      </c>
      <c r="I20" s="4" t="n">
        <v>1500</v>
      </c>
      <c r="J20" s="4" t="n">
        <v>1500</v>
      </c>
      <c r="K20" s="4" t="n">
        <v>1500</v>
      </c>
      <c r="L20" s="4" t="n">
        <v>1500</v>
      </c>
      <c r="M20" s="4" t="n">
        <v>1500</v>
      </c>
      <c r="N20" s="4" t="n">
        <v>1500</v>
      </c>
      <c r="O20" s="9" t="n">
        <f aca="false">SUM(B20:N20)</f>
        <v>19500</v>
      </c>
    </row>
    <row r="21" customFormat="false" ht="15" hidden="false" customHeight="false" outlineLevel="0" collapsed="false">
      <c r="A21" s="0" t="s">
        <v>41</v>
      </c>
      <c r="B21" s="4" t="n">
        <v>0</v>
      </c>
      <c r="C21" s="4" t="n">
        <v>0</v>
      </c>
      <c r="D21" s="4" t="n">
        <v>4500</v>
      </c>
      <c r="E21" s="4" t="n">
        <v>0</v>
      </c>
      <c r="F21" s="4" t="n">
        <v>0</v>
      </c>
      <c r="G21" s="4" t="n">
        <v>0</v>
      </c>
      <c r="H21" s="4" t="n">
        <v>4500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4500</v>
      </c>
      <c r="N21" s="4" t="n">
        <v>0</v>
      </c>
      <c r="O21" s="9" t="n">
        <f aca="false">SUM(B21:N21)</f>
        <v>13500</v>
      </c>
    </row>
    <row r="22" customFormat="false" ht="15" hidden="false" customHeight="false" outlineLevel="0" collapsed="false">
      <c r="A22" s="0" t="s">
        <v>42</v>
      </c>
      <c r="B22" s="4" t="n">
        <v>1800</v>
      </c>
      <c r="C22" s="4" t="n">
        <v>1800</v>
      </c>
      <c r="D22" s="4" t="n">
        <v>1800</v>
      </c>
      <c r="E22" s="4" t="n">
        <v>1800</v>
      </c>
      <c r="F22" s="4" t="n">
        <v>1800</v>
      </c>
      <c r="G22" s="4" t="n">
        <v>1800</v>
      </c>
      <c r="H22" s="4" t="n">
        <v>1800</v>
      </c>
      <c r="I22" s="4" t="n">
        <v>1800</v>
      </c>
      <c r="J22" s="4" t="n">
        <v>1800</v>
      </c>
      <c r="K22" s="4" t="n">
        <v>1800</v>
      </c>
      <c r="L22" s="4" t="n">
        <v>1800</v>
      </c>
      <c r="M22" s="4" t="n">
        <v>1800</v>
      </c>
      <c r="N22" s="4" t="n">
        <v>1800</v>
      </c>
      <c r="O22" s="9" t="n">
        <f aca="false">SUM(B22:N22)</f>
        <v>23400</v>
      </c>
    </row>
    <row r="23" customFormat="false" ht="15" hidden="false" customHeight="false" outlineLevel="0" collapsed="false">
      <c r="A23" s="0" t="s">
        <v>43</v>
      </c>
      <c r="B23" s="4" t="n">
        <v>0</v>
      </c>
      <c r="C23" s="4" t="n">
        <v>0</v>
      </c>
      <c r="D23" s="4" t="n">
        <v>0</v>
      </c>
      <c r="E23" s="4" t="n">
        <v>3200</v>
      </c>
      <c r="F23" s="4" t="n">
        <v>0</v>
      </c>
      <c r="G23" s="4" t="n">
        <v>0</v>
      </c>
      <c r="H23" s="4" t="n">
        <v>0</v>
      </c>
      <c r="I23" s="4" t="n">
        <v>3200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3200</v>
      </c>
      <c r="O23" s="9" t="n">
        <f aca="false">SUM(B23:N23)</f>
        <v>9600</v>
      </c>
    </row>
    <row r="24" customFormat="false" ht="15" hidden="false" customHeight="false" outlineLevel="0" collapsed="false">
      <c r="A24" s="0" t="s">
        <v>44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9" t="n">
        <f aca="false">SUM(B24:N24)</f>
        <v>0</v>
      </c>
    </row>
    <row r="25" customFormat="false" ht="15" hidden="false" customHeight="false" outlineLevel="0" collapsed="false">
      <c r="A25" s="0" t="s">
        <v>45</v>
      </c>
      <c r="B25" s="4" t="n">
        <v>500</v>
      </c>
      <c r="C25" s="4" t="n">
        <v>500</v>
      </c>
      <c r="D25" s="4" t="n">
        <v>500</v>
      </c>
      <c r="E25" s="4" t="n">
        <v>500</v>
      </c>
      <c r="F25" s="4" t="n">
        <v>500</v>
      </c>
      <c r="G25" s="4" t="n">
        <v>500</v>
      </c>
      <c r="H25" s="4" t="n">
        <v>500</v>
      </c>
      <c r="I25" s="4" t="n">
        <v>500</v>
      </c>
      <c r="J25" s="4" t="n">
        <v>500</v>
      </c>
      <c r="K25" s="4" t="n">
        <v>500</v>
      </c>
      <c r="L25" s="4" t="n">
        <v>500</v>
      </c>
      <c r="M25" s="4" t="n">
        <v>500</v>
      </c>
      <c r="N25" s="4" t="n">
        <v>500</v>
      </c>
      <c r="O25" s="9" t="n">
        <f aca="false">SUM(B25:N25)</f>
        <v>6500</v>
      </c>
    </row>
    <row r="26" customFormat="false" ht="15" hidden="false" customHeight="false" outlineLevel="0" collapsed="false">
      <c r="A26" s="10" t="s">
        <v>46</v>
      </c>
      <c r="B26" s="11" t="n">
        <f aca="false">SUM(B18:B25)</f>
        <v>15800</v>
      </c>
      <c r="C26" s="11" t="n">
        <f aca="false">SUM(C18:C25)</f>
        <v>15800</v>
      </c>
      <c r="D26" s="11" t="n">
        <f aca="false">SUM(D18:D25)</f>
        <v>20300</v>
      </c>
      <c r="E26" s="11" t="n">
        <f aca="false">SUM(E18:E25)</f>
        <v>26000</v>
      </c>
      <c r="F26" s="11" t="n">
        <f aca="false">SUM(F18:F25)</f>
        <v>15800</v>
      </c>
      <c r="G26" s="11" t="n">
        <f aca="false">SUM(G18:G25)</f>
        <v>15800</v>
      </c>
      <c r="H26" s="11" t="n">
        <f aca="false">SUM(H18:H25)</f>
        <v>20300</v>
      </c>
      <c r="I26" s="11" t="n">
        <f aca="false">SUM(I18:I25)</f>
        <v>26000</v>
      </c>
      <c r="J26" s="11" t="n">
        <f aca="false">SUM(J18:J25)</f>
        <v>15800</v>
      </c>
      <c r="K26" s="11" t="n">
        <f aca="false">SUM(K18:K25)</f>
        <v>15800</v>
      </c>
      <c r="L26" s="11" t="n">
        <f aca="false">SUM(L18:L25)</f>
        <v>15800</v>
      </c>
      <c r="M26" s="11" t="n">
        <f aca="false">SUM(M18:M25)</f>
        <v>20300</v>
      </c>
      <c r="N26" s="11" t="n">
        <f aca="false">SUM(N18:N25)</f>
        <v>26000</v>
      </c>
      <c r="O26" s="9" t="n">
        <f aca="false">SUM(B26:N26)</f>
        <v>249500</v>
      </c>
    </row>
    <row r="28" customFormat="false" ht="15" hidden="false" customHeight="false" outlineLevel="0" collapsed="false">
      <c r="A28" s="0" t="s">
        <v>47</v>
      </c>
      <c r="B28" s="9" t="n">
        <f aca="false">B15-B26</f>
        <v>1700</v>
      </c>
      <c r="C28" s="9" t="n">
        <f aca="false">C15-C26</f>
        <v>1700</v>
      </c>
      <c r="D28" s="9" t="n">
        <f aca="false">D15-D26</f>
        <v>-2800</v>
      </c>
      <c r="E28" s="9" t="n">
        <f aca="false">E15-E26</f>
        <v>-8500</v>
      </c>
      <c r="F28" s="9" t="n">
        <f aca="false">F15-F26</f>
        <v>1700</v>
      </c>
      <c r="G28" s="9" t="n">
        <f aca="false">G15-G26</f>
        <v>1700</v>
      </c>
      <c r="H28" s="9" t="n">
        <f aca="false">H15-H26</f>
        <v>-2800</v>
      </c>
      <c r="I28" s="9" t="n">
        <f aca="false">I15-I26</f>
        <v>-8500</v>
      </c>
      <c r="J28" s="9" t="n">
        <f aca="false">J15-J26</f>
        <v>-8300</v>
      </c>
      <c r="K28" s="9" t="n">
        <f aca="false">K15-K26</f>
        <v>1700</v>
      </c>
      <c r="L28" s="9" t="n">
        <f aca="false">L15-L26</f>
        <v>1700</v>
      </c>
      <c r="M28" s="9" t="n">
        <f aca="false">M15-M26</f>
        <v>-2800</v>
      </c>
      <c r="N28" s="9" t="n">
        <f aca="false">N15-N26</f>
        <v>-8500</v>
      </c>
      <c r="O28" s="9" t="n">
        <f aca="false">SUM(B28:N28)</f>
        <v>-32000</v>
      </c>
    </row>
    <row r="29" customFormat="false" ht="15" hidden="false" customHeight="false" outlineLevel="0" collapsed="false">
      <c r="A29" s="0" t="s">
        <v>48</v>
      </c>
      <c r="B29" s="9" t="n">
        <f aca="false">$B$5</f>
        <v>25000</v>
      </c>
      <c r="C29" s="9" t="n">
        <f aca="false">B30</f>
        <v>26700</v>
      </c>
      <c r="D29" s="9" t="n">
        <f aca="false">C30</f>
        <v>28400</v>
      </c>
      <c r="E29" s="9" t="n">
        <f aca="false">D30</f>
        <v>25600</v>
      </c>
      <c r="F29" s="9" t="n">
        <f aca="false">E30</f>
        <v>17100</v>
      </c>
      <c r="G29" s="9" t="n">
        <f aca="false">F30</f>
        <v>18800</v>
      </c>
      <c r="H29" s="9" t="n">
        <f aca="false">G30</f>
        <v>20500</v>
      </c>
      <c r="I29" s="9" t="n">
        <f aca="false">H30</f>
        <v>17700</v>
      </c>
      <c r="J29" s="9" t="n">
        <f aca="false">I30</f>
        <v>9200</v>
      </c>
      <c r="K29" s="9" t="n">
        <f aca="false">J30</f>
        <v>900</v>
      </c>
      <c r="L29" s="9" t="n">
        <f aca="false">K30</f>
        <v>2600</v>
      </c>
      <c r="M29" s="9" t="n">
        <f aca="false">L30</f>
        <v>4300</v>
      </c>
      <c r="N29" s="9" t="n">
        <f aca="false">M30</f>
        <v>1500</v>
      </c>
    </row>
    <row r="30" customFormat="false" ht="15" hidden="false" customHeight="false" outlineLevel="0" collapsed="false">
      <c r="A30" s="8" t="s">
        <v>49</v>
      </c>
      <c r="B30" s="12" t="n">
        <f aca="false">B29+B28</f>
        <v>26700</v>
      </c>
      <c r="C30" s="12" t="n">
        <f aca="false">C29+C28</f>
        <v>28400</v>
      </c>
      <c r="D30" s="12" t="n">
        <f aca="false">D29+D28</f>
        <v>25600</v>
      </c>
      <c r="E30" s="12" t="n">
        <f aca="false">E29+E28</f>
        <v>17100</v>
      </c>
      <c r="F30" s="12" t="n">
        <f aca="false">F29+F28</f>
        <v>18800</v>
      </c>
      <c r="G30" s="12" t="n">
        <f aca="false">G29+G28</f>
        <v>20500</v>
      </c>
      <c r="H30" s="12" t="n">
        <f aca="false">H29+H28</f>
        <v>17700</v>
      </c>
      <c r="I30" s="12" t="n">
        <f aca="false">I29+I28</f>
        <v>9200</v>
      </c>
      <c r="J30" s="12" t="n">
        <f aca="false">J29+J28</f>
        <v>900</v>
      </c>
      <c r="K30" s="12" t="n">
        <f aca="false">K29+K28</f>
        <v>2600</v>
      </c>
      <c r="L30" s="12" t="n">
        <f aca="false">L29+L28</f>
        <v>4300</v>
      </c>
      <c r="M30" s="12" t="n">
        <f aca="false">M29+M28</f>
        <v>1500</v>
      </c>
      <c r="N30" s="12" t="n">
        <f aca="false">N29+N28</f>
        <v>-7000</v>
      </c>
    </row>
    <row r="32" customFormat="false" ht="15" hidden="false" customHeight="false" outlineLevel="0" collapsed="false">
      <c r="A32" s="10" t="s">
        <v>50</v>
      </c>
      <c r="B32" s="13" t="n">
        <f aca="false">COUNTIF(B30:N30,"&lt;"&amp;$B$6)</f>
        <v>5</v>
      </c>
    </row>
    <row r="33" customFormat="false" ht="15" hidden="false" customHeight="false" outlineLevel="0" collapsed="false">
      <c r="A33" s="10" t="s">
        <v>51</v>
      </c>
      <c r="B33" s="9" t="n">
        <f aca="false">MIN(B30:N30)</f>
        <v>-7000</v>
      </c>
    </row>
    <row r="34" customFormat="false" ht="15" hidden="false" customHeight="false" outlineLevel="0" collapsed="false">
      <c r="A34" s="10" t="s">
        <v>52</v>
      </c>
      <c r="B34" s="0" t="str">
        <f aca="false">IFERROR("Semana "&amp;MATCH(TRUE(),INDEX(B30:N30&lt;$B$6,0),0),"Ninguna")</f>
        <v>Semana 9</v>
      </c>
    </row>
  </sheetData>
  <conditionalFormatting sqref="B30:N30">
    <cfRule type="cellIs" priority="2" operator="lessThan" aboveAverage="0" equalAverage="0" bottom="0" percent="0" rank="0" text="" dxfId="0">
      <formula>$B$6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Strategic Leverage Partner · Uso exclusivo del solicitante · Prohibida su venta o reproducción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0" t="s">
        <v>54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57</v>
      </c>
      <c r="D4" s="14" t="s">
        <v>58</v>
      </c>
      <c r="E4" s="14" t="s">
        <v>59</v>
      </c>
    </row>
    <row r="5" customFormat="false" ht="15" hidden="false" customHeight="false" outlineLevel="0" collapsed="false">
      <c r="A5" s="15" t="s">
        <v>60</v>
      </c>
      <c r="B5" s="4" t="n">
        <v>1000000</v>
      </c>
      <c r="C5" s="15"/>
      <c r="D5" s="15"/>
      <c r="E5" s="15"/>
    </row>
    <row r="6" customFormat="false" ht="15" hidden="false" customHeight="false" outlineLevel="0" collapsed="false">
      <c r="A6" s="15" t="s">
        <v>61</v>
      </c>
      <c r="B6" s="15"/>
      <c r="C6" s="16" t="n">
        <v>-0.05</v>
      </c>
      <c r="D6" s="16" t="n">
        <v>0.05</v>
      </c>
      <c r="E6" s="16" t="n">
        <v>0.12</v>
      </c>
    </row>
    <row r="7" customFormat="false" ht="15" hidden="false" customHeight="false" outlineLevel="0" collapsed="false">
      <c r="A7" s="15" t="s">
        <v>62</v>
      </c>
      <c r="B7" s="16" t="n">
        <v>0.62</v>
      </c>
      <c r="C7" s="16" t="n">
        <v>0.65</v>
      </c>
      <c r="D7" s="16" t="n">
        <v>0.62</v>
      </c>
      <c r="E7" s="16" t="n">
        <v>0.6</v>
      </c>
    </row>
    <row r="8" customFormat="false" ht="15" hidden="false" customHeight="false" outlineLevel="0" collapsed="false">
      <c r="A8" s="15" t="s">
        <v>63</v>
      </c>
      <c r="B8" s="4" t="n">
        <v>230000</v>
      </c>
      <c r="C8" s="15"/>
      <c r="D8" s="15"/>
      <c r="E8" s="15"/>
    </row>
    <row r="9" customFormat="false" ht="15" hidden="false" customHeight="false" outlineLevel="0" collapsed="false">
      <c r="A9" s="15" t="s">
        <v>64</v>
      </c>
      <c r="B9" s="15"/>
      <c r="C9" s="16" t="n">
        <v>0.06</v>
      </c>
      <c r="D9" s="16" t="n">
        <v>0.04</v>
      </c>
      <c r="E9" s="16" t="n">
        <v>0.03</v>
      </c>
    </row>
    <row r="10" customFormat="false" ht="15" hidden="false" customHeight="false" outlineLevel="0" collapsed="false">
      <c r="A10" s="15" t="s">
        <v>65</v>
      </c>
      <c r="B10" s="4" t="n">
        <v>60</v>
      </c>
      <c r="C10" s="4" t="n">
        <v>75</v>
      </c>
      <c r="D10" s="4" t="n">
        <v>60</v>
      </c>
      <c r="E10" s="4" t="n">
        <v>50</v>
      </c>
    </row>
    <row r="11" customFormat="false" ht="15" hidden="false" customHeight="false" outlineLevel="0" collapsed="false">
      <c r="A11" s="15" t="s">
        <v>66</v>
      </c>
      <c r="B11" s="4" t="n">
        <v>250000</v>
      </c>
      <c r="C11" s="15"/>
      <c r="D11" s="15"/>
      <c r="E11" s="15"/>
    </row>
    <row r="12" customFormat="false" ht="15" hidden="false" customHeight="false" outlineLevel="0" collapsed="false">
      <c r="A12" s="15" t="s">
        <v>67</v>
      </c>
      <c r="B12" s="15"/>
      <c r="C12" s="16" t="n">
        <v>0.12</v>
      </c>
      <c r="D12" s="16" t="n">
        <v>0.105</v>
      </c>
      <c r="E12" s="16" t="n">
        <v>0.095</v>
      </c>
    </row>
    <row r="13" customFormat="false" ht="15" hidden="false" customHeight="false" outlineLevel="0" collapsed="false">
      <c r="A13" s="15" t="s">
        <v>68</v>
      </c>
      <c r="B13" s="4" t="n">
        <v>35000</v>
      </c>
      <c r="C13" s="4" t="n">
        <v>35000</v>
      </c>
      <c r="D13" s="4" t="n">
        <v>35000</v>
      </c>
      <c r="E13" s="4" t="n">
        <v>35000</v>
      </c>
    </row>
    <row r="16" customFormat="false" ht="15" hidden="false" customHeight="false" outlineLevel="0" collapsed="false">
      <c r="A16" s="17" t="s">
        <v>69</v>
      </c>
      <c r="B16" s="17"/>
      <c r="C16" s="17" t="s">
        <v>57</v>
      </c>
      <c r="D16" s="17" t="s">
        <v>58</v>
      </c>
      <c r="E16" s="17" t="s">
        <v>59</v>
      </c>
    </row>
    <row r="17" customFormat="false" ht="15" hidden="false" customHeight="false" outlineLevel="0" collapsed="false">
      <c r="A17" s="0" t="s">
        <v>70</v>
      </c>
      <c r="C17" s="18" t="n">
        <f aca="false">$B$5*(1+C6)</f>
        <v>950000</v>
      </c>
      <c r="D17" s="18" t="n">
        <f aca="false">$B$5*(1+D6)</f>
        <v>1050000</v>
      </c>
      <c r="E17" s="18" t="n">
        <f aca="false">$B$5*(1+E6)</f>
        <v>1120000</v>
      </c>
    </row>
    <row r="18" customFormat="false" ht="15" hidden="false" customHeight="false" outlineLevel="0" collapsed="false">
      <c r="A18" s="0" t="s">
        <v>71</v>
      </c>
      <c r="C18" s="18" t="n">
        <f aca="false">C17*C7</f>
        <v>617500</v>
      </c>
      <c r="D18" s="18" t="n">
        <f aca="false">D17*D7</f>
        <v>651000</v>
      </c>
      <c r="E18" s="18" t="n">
        <f aca="false">E17*E7</f>
        <v>672000</v>
      </c>
    </row>
    <row r="19" customFormat="false" ht="15" hidden="false" customHeight="false" outlineLevel="0" collapsed="false">
      <c r="A19" s="0" t="s">
        <v>72</v>
      </c>
      <c r="C19" s="18" t="n">
        <f aca="false">C17-C18</f>
        <v>332500</v>
      </c>
      <c r="D19" s="18" t="n">
        <f aca="false">D17-D18</f>
        <v>399000</v>
      </c>
      <c r="E19" s="18" t="n">
        <f aca="false">E17-E18</f>
        <v>448000</v>
      </c>
    </row>
    <row r="20" customFormat="false" ht="15" hidden="false" customHeight="false" outlineLevel="0" collapsed="false">
      <c r="A20" s="0" t="s">
        <v>73</v>
      </c>
      <c r="C20" s="18" t="n">
        <f aca="false">$B$8*(1+C9)</f>
        <v>243800</v>
      </c>
      <c r="D20" s="18" t="n">
        <f aca="false">$B$8*(1+D9)</f>
        <v>239200</v>
      </c>
      <c r="E20" s="18" t="n">
        <f aca="false">$B$8*(1+E9)</f>
        <v>236900</v>
      </c>
    </row>
    <row r="21" customFormat="false" ht="15" hidden="false" customHeight="false" outlineLevel="0" collapsed="false">
      <c r="A21" s="10" t="s">
        <v>74</v>
      </c>
      <c r="C21" s="19" t="n">
        <f aca="false">C19-C20</f>
        <v>88700</v>
      </c>
      <c r="D21" s="19" t="n">
        <f aca="false">D19-D20</f>
        <v>159800</v>
      </c>
      <c r="E21" s="19" t="n">
        <f aca="false">E19-E20</f>
        <v>211100</v>
      </c>
    </row>
    <row r="22" customFormat="false" ht="15" hidden="false" customHeight="false" outlineLevel="0" collapsed="false">
      <c r="A22" s="0" t="s">
        <v>75</v>
      </c>
      <c r="C22" s="18" t="n">
        <f aca="false">C13</f>
        <v>35000</v>
      </c>
      <c r="D22" s="18" t="n">
        <f aca="false">D13</f>
        <v>35000</v>
      </c>
      <c r="E22" s="18" t="n">
        <f aca="false">E13</f>
        <v>35000</v>
      </c>
    </row>
    <row r="23" customFormat="false" ht="15" hidden="false" customHeight="false" outlineLevel="0" collapsed="false">
      <c r="A23" s="0" t="s">
        <v>76</v>
      </c>
      <c r="C23" s="18" t="n">
        <f aca="false">C21-C22</f>
        <v>53700</v>
      </c>
      <c r="D23" s="18" t="n">
        <f aca="false">D21-D22</f>
        <v>124800</v>
      </c>
      <c r="E23" s="18" t="n">
        <f aca="false">E21-E22</f>
        <v>176100</v>
      </c>
    </row>
    <row r="24" customFormat="false" ht="15" hidden="false" customHeight="false" outlineLevel="0" collapsed="false">
      <c r="A24" s="0" t="s">
        <v>77</v>
      </c>
      <c r="C24" s="18" t="n">
        <f aca="false">$B$11*C12</f>
        <v>30000</v>
      </c>
      <c r="D24" s="18" t="n">
        <f aca="false">$B$11*D12</f>
        <v>26250</v>
      </c>
      <c r="E24" s="18" t="n">
        <f aca="false">$B$11*E12</f>
        <v>23750</v>
      </c>
    </row>
    <row r="25" customFormat="false" ht="15" hidden="false" customHeight="false" outlineLevel="0" collapsed="false">
      <c r="A25" s="10" t="s">
        <v>78</v>
      </c>
      <c r="C25" s="19" t="n">
        <f aca="false">C23-C24</f>
        <v>23700</v>
      </c>
      <c r="D25" s="19" t="n">
        <f aca="false">D23-D24</f>
        <v>98550</v>
      </c>
      <c r="E25" s="19" t="n">
        <f aca="false">E23-E24</f>
        <v>152350</v>
      </c>
    </row>
    <row r="26" customFormat="false" ht="15" hidden="false" customHeight="false" outlineLevel="0" collapsed="false">
      <c r="A26" s="0" t="s">
        <v>79</v>
      </c>
      <c r="C26" s="18" t="n">
        <f aca="false">C17/360*C10</f>
        <v>197916.666666667</v>
      </c>
      <c r="D26" s="18" t="n">
        <f aca="false">D17/360*D10</f>
        <v>175000</v>
      </c>
      <c r="E26" s="18" t="n">
        <f aca="false">E17/360*E10</f>
        <v>155555.555555556</v>
      </c>
    </row>
    <row r="27" customFormat="false" ht="15" hidden="false" customHeight="false" outlineLevel="0" collapsed="false">
      <c r="A27" s="0" t="s">
        <v>80</v>
      </c>
      <c r="C27" s="20" t="n">
        <f aca="false">IFERROR(C21/C17,"")</f>
        <v>0.0933684210526316</v>
      </c>
      <c r="D27" s="20" t="n">
        <f aca="false">IFERROR(D21/D17,"")</f>
        <v>0.152190476190476</v>
      </c>
      <c r="E27" s="20" t="n">
        <f aca="false">IFERROR(E21/E17,"")</f>
        <v>0.188482142857143</v>
      </c>
    </row>
    <row r="28" customFormat="false" ht="15" hidden="false" customHeight="false" outlineLevel="0" collapsed="false">
      <c r="A28" s="0" t="s">
        <v>81</v>
      </c>
      <c r="C28" s="21" t="n">
        <f aca="false">IFERROR($B$11/C21,"")</f>
        <v>2.8184892897407</v>
      </c>
      <c r="D28" s="21" t="n">
        <f aca="false">IFERROR($B$11/D21,"")</f>
        <v>1.56445556946183</v>
      </c>
      <c r="E28" s="21" t="n">
        <f aca="false">IFERROR($B$11/E21,"")</f>
        <v>1.18427285646613</v>
      </c>
    </row>
    <row r="29" customFormat="false" ht="15" hidden="false" customHeight="false" outlineLevel="0" collapsed="false">
      <c r="A29" s="0" t="s">
        <v>82</v>
      </c>
      <c r="C29" s="21" t="n">
        <f aca="false">IFERROR(C21/C24,"")</f>
        <v>2.95666666666667</v>
      </c>
      <c r="D29" s="21" t="n">
        <f aca="false">IFERROR(D21/D24,"")</f>
        <v>6.08761904761905</v>
      </c>
      <c r="E29" s="21" t="n">
        <f aca="false">IFERROR(E21/E24,"")</f>
        <v>8.88842105263158</v>
      </c>
    </row>
    <row r="32" customFormat="false" ht="15" hidden="false" customHeight="false" outlineLevel="0" collapsed="false">
      <c r="A32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Strategic Leverage Partner · Uso exclusivo del solicitante · Prohibida su venta o reproducción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2026-10-12T16:49:26Z</dcterms:created>
  <dc:creator>Strategic Leverage Partner</dc:creator>
  <dc:description>© 2026 Strategic Leverage Partner for Profitable Businesses S.A.S. Uso exclusivo del solicitante registrado. Prohibida su reproducción, venta o distribución sin autorización escrita.</dc:description>
  <cp:keywords>© 2026 Strategic Leverage Partner · uso exclusivo del solicitante registrado</cp:keywords>
  <dc:language>en-US</dc:language>
  <cp:lastModifiedBy/>
  <dcterms:modified xsi:type="dcterms:W3CDTF">2026-10-20T15:02:42Z</dcterms:modified>
  <cp:revision>1</cp:revision>
  <dc:subject/>
  <dc:title>Plantilla de flujo de 13 semanas y presupuesto 2027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